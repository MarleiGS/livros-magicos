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eu Drive\Uni9-Projetos\livros-magicos\Geral\"/>
    </mc:Choice>
  </mc:AlternateContent>
  <xr:revisionPtr revIDLastSave="0" documentId="13_ncr:1_{C95C75A7-EE47-4014-BFBD-CC7DCCCC192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sumo" sheetId="5" r:id="rId1"/>
    <sheet name="Stakehol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qkfUERS6NupnkUCDp1IwdqepRp7pEa88FPvZ/A9YUw="/>
    </ext>
  </extLst>
</workbook>
</file>

<file path=xl/calcChain.xml><?xml version="1.0" encoding="utf-8"?>
<calcChain xmlns="http://schemas.openxmlformats.org/spreadsheetml/2006/main">
  <c r="G1" i="5" l="1"/>
  <c r="B1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3" i="5"/>
  <c r="B12" i="5"/>
  <c r="C12" i="5"/>
  <c r="D12" i="5"/>
  <c r="E12" i="5"/>
  <c r="G12" i="5"/>
  <c r="B13" i="5"/>
  <c r="C13" i="5"/>
  <c r="D13" i="5"/>
  <c r="E13" i="5"/>
  <c r="G13" i="5"/>
  <c r="B14" i="5"/>
  <c r="C14" i="5"/>
  <c r="D14" i="5"/>
  <c r="E14" i="5"/>
  <c r="G14" i="5"/>
  <c r="B15" i="5"/>
  <c r="C15" i="5"/>
  <c r="D15" i="5"/>
  <c r="E15" i="5"/>
  <c r="G15" i="5"/>
  <c r="B16" i="5"/>
  <c r="C16" i="5"/>
  <c r="D16" i="5"/>
  <c r="E16" i="5"/>
  <c r="G16" i="5"/>
  <c r="B17" i="5"/>
  <c r="C17" i="5"/>
  <c r="D17" i="5"/>
  <c r="E17" i="5"/>
  <c r="G17" i="5"/>
  <c r="B4" i="5"/>
  <c r="C4" i="5"/>
  <c r="D4" i="5"/>
  <c r="E4" i="5"/>
  <c r="G4" i="5"/>
  <c r="B5" i="5"/>
  <c r="C5" i="5"/>
  <c r="D5" i="5"/>
  <c r="E5" i="5"/>
  <c r="G5" i="5"/>
  <c r="B6" i="5"/>
  <c r="C6" i="5"/>
  <c r="D6" i="5"/>
  <c r="E6" i="5"/>
  <c r="G6" i="5"/>
  <c r="B7" i="5"/>
  <c r="C7" i="5"/>
  <c r="D7" i="5"/>
  <c r="E7" i="5"/>
  <c r="G7" i="5"/>
  <c r="B8" i="5"/>
  <c r="C8" i="5"/>
  <c r="D8" i="5"/>
  <c r="E8" i="5"/>
  <c r="G8" i="5"/>
  <c r="B9" i="5"/>
  <c r="C9" i="5"/>
  <c r="D9" i="5"/>
  <c r="E9" i="5"/>
  <c r="G9" i="5"/>
  <c r="B10" i="5"/>
  <c r="C10" i="5"/>
  <c r="D10" i="5"/>
  <c r="E10" i="5"/>
  <c r="G10" i="5"/>
  <c r="B11" i="5"/>
  <c r="C11" i="5"/>
  <c r="D11" i="5"/>
  <c r="E11" i="5"/>
  <c r="G11" i="5"/>
  <c r="C3" i="5"/>
  <c r="D3" i="5"/>
  <c r="E3" i="5"/>
  <c r="G3" i="5"/>
  <c r="B3" i="5"/>
</calcChain>
</file>

<file path=xl/sharedStrings.xml><?xml version="1.0" encoding="utf-8"?>
<sst xmlns="http://schemas.openxmlformats.org/spreadsheetml/2006/main" count="69" uniqueCount="61">
  <si>
    <t>RA</t>
  </si>
  <si>
    <t>Marlei Gonçalves dos Santos</t>
  </si>
  <si>
    <t>marlei.gsantos@uni9.edu.br</t>
  </si>
  <si>
    <t>Lucas Pantaleão dos Santos</t>
  </si>
  <si>
    <t>l.pantaleao@uni9.edu.br</t>
  </si>
  <si>
    <t>Kayky Oliveira Santos</t>
  </si>
  <si>
    <t>berryhoney222@uni9.edu.br</t>
  </si>
  <si>
    <t>Matheus Henrique de Paiva Santiago Sousa</t>
  </si>
  <si>
    <t>azevedo.kaua@uni9.edu.br</t>
  </si>
  <si>
    <t>Ingrid Camille Rodrigues Gonçalves</t>
  </si>
  <si>
    <t>ingrid.rg@uni9.edu.br</t>
  </si>
  <si>
    <t>Gabriel Victor Marques Bastos</t>
  </si>
  <si>
    <t>g.v.bastos@uni9.edu.br</t>
  </si>
  <si>
    <t>Mateus da Silva Costa</t>
  </si>
  <si>
    <t>Caio Feitor Santos</t>
  </si>
  <si>
    <t>Cargo</t>
  </si>
  <si>
    <t>Contato</t>
  </si>
  <si>
    <t>GitHub</t>
  </si>
  <si>
    <t>MarleiGS</t>
  </si>
  <si>
    <t>LinkedIn</t>
  </si>
  <si>
    <t>e-mail Uninove</t>
  </si>
  <si>
    <t>KaykyOliveira1090</t>
  </si>
  <si>
    <t>KauaAzevedo-hub</t>
  </si>
  <si>
    <t>gabrielvic368</t>
  </si>
  <si>
    <t>IngridRG14</t>
  </si>
  <si>
    <t>LucasPsantos-ux</t>
  </si>
  <si>
    <t>Eiester</t>
  </si>
  <si>
    <t>MathheuSantiago</t>
  </si>
  <si>
    <t>ligiamateuscosta-boop</t>
  </si>
  <si>
    <t>CaioFeitor1910</t>
  </si>
  <si>
    <t>Ester Menezes</t>
  </si>
  <si>
    <t>Kayky Santos</t>
  </si>
  <si>
    <t>Ingrid Gonçalves</t>
  </si>
  <si>
    <t>Mateus Costa</t>
  </si>
  <si>
    <t>Caio Santos</t>
  </si>
  <si>
    <t>Gabriel Bastos</t>
  </si>
  <si>
    <t>Matheus Santiago</t>
  </si>
  <si>
    <t>Gerente de Projeto</t>
  </si>
  <si>
    <t>Ester Sabrina Menezes</t>
  </si>
  <si>
    <t>e-mail pessoal</t>
  </si>
  <si>
    <t>marlei.gsantos@gmail.com</t>
  </si>
  <si>
    <t>ester.sabrina@uni9.edu.br</t>
  </si>
  <si>
    <t>matheushpss99@uni9.edu.br</t>
  </si>
  <si>
    <t>ligiamateuscosta@uni9.edu.br</t>
  </si>
  <si>
    <t>caio.feitor@uni9.edu.br</t>
  </si>
  <si>
    <t>Nome Completo</t>
  </si>
  <si>
    <t>Nome no Projeto</t>
  </si>
  <si>
    <t>Kauã Azevedo de Oliveira</t>
  </si>
  <si>
    <t>Rev.</t>
  </si>
  <si>
    <t>NÃO ALTERAR</t>
  </si>
  <si>
    <t>Kauã Oliveira</t>
  </si>
  <si>
    <t>Lucas Pantaleão</t>
  </si>
  <si>
    <t>A</t>
  </si>
  <si>
    <t>Aghata Roberta</t>
  </si>
  <si>
    <t>Aghata Roberta Tavares Damasceno</t>
  </si>
  <si>
    <t>aghata.roberta.damasceno@uni9.edu.br</t>
  </si>
  <si>
    <t>Revisão A
17/Out/2025</t>
  </si>
  <si>
    <t>LIVROS MÁGICOS</t>
  </si>
  <si>
    <t>Matriz de Comunicação - Stakeholders</t>
  </si>
  <si>
    <t>Matriz de Comunicação - Stakeholders
Resumo</t>
  </si>
  <si>
    <t>aghataa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</si>
</sst>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##\)\ ##0\ ##0\ ##0"/>
  </numFmts>
  <fonts count="16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u/>
      <sz val="8"/>
      <color theme="10"/>
      <name val="Arial"/>
      <family val="2"/>
      <scheme val="minor"/>
    </font>
    <font>
      <sz val="8"/>
      <color rgb="FF000000"/>
      <name val="Arial"/>
      <family val="2"/>
    </font>
    <font>
      <sz val="8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6"/>
      <color theme="0"/>
      <name val="Arial"/>
      <family val="2"/>
      <scheme val="minor"/>
    </font>
    <font>
      <strike/>
      <sz val="8"/>
      <color rgb="FF000000"/>
      <name val="Arial"/>
      <family val="2"/>
      <scheme val="minor"/>
    </font>
    <font>
      <strike/>
      <sz val="8"/>
      <color rgb="FF000000"/>
      <name val="Arial"/>
      <family val="2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2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3" xfId="1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 inden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">
    <dxf>
      <font>
        <strike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ghata.roberta.damasceno@uni9.edu.br" TargetMode="External"/><Relationship Id="rId1" Type="http://schemas.openxmlformats.org/officeDocument/2006/relationships/hyperlink" Target="mailto:marlei.gsant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90C1-FE53-41BB-BB50-F6253782E16D}">
  <dimension ref="A1:G18"/>
  <sheetViews>
    <sheetView zoomScale="115" zoomScaleNormal="115" workbookViewId="0">
      <selection activeCell="H4" sqref="H4"/>
    </sheetView>
  </sheetViews>
  <sheetFormatPr defaultColWidth="39.88671875" defaultRowHeight="19.95" customHeight="1" x14ac:dyDescent="0.25"/>
  <cols>
    <col min="1" max="1" width="3.6640625" style="2" customWidth="1"/>
    <col min="2" max="2" width="5.6640625" style="2" customWidth="1"/>
    <col min="3" max="3" width="12.6640625" style="2" customWidth="1"/>
    <col min="4" max="4" width="33.6640625" style="1" bestFit="1" customWidth="1"/>
    <col min="5" max="5" width="15.77734375" style="1" customWidth="1"/>
    <col min="6" max="6" width="15.77734375" style="2" customWidth="1"/>
    <col min="7" max="7" width="28.77734375" style="2" customWidth="1"/>
    <col min="8" max="16384" width="39.88671875" style="1"/>
  </cols>
  <sheetData>
    <row r="1" spans="1:7" ht="60" customHeight="1" thickBot="1" x14ac:dyDescent="0.3">
      <c r="B1" s="46" t="str">
        <f>Stakeholders!B1</f>
        <v>LIVROS MÁGICOS</v>
      </c>
      <c r="C1" s="47"/>
      <c r="D1" s="48" t="s">
        <v>59</v>
      </c>
      <c r="E1" s="49"/>
      <c r="F1" s="50"/>
      <c r="G1" s="44" t="str">
        <f>Stakeholders!K1</f>
        <v>Revisão A
17/Out/2025</v>
      </c>
    </row>
    <row r="2" spans="1:7" s="2" customFormat="1" ht="25.2" customHeight="1" x14ac:dyDescent="0.25">
      <c r="B2" s="16" t="s">
        <v>48</v>
      </c>
      <c r="C2" s="17" t="s">
        <v>0</v>
      </c>
      <c r="D2" s="18" t="s">
        <v>45</v>
      </c>
      <c r="E2" s="18" t="s">
        <v>46</v>
      </c>
      <c r="F2" s="18" t="s">
        <v>15</v>
      </c>
      <c r="G2" s="19" t="s">
        <v>20</v>
      </c>
    </row>
    <row r="3" spans="1:7" ht="15" customHeight="1" x14ac:dyDescent="0.25">
      <c r="B3" s="14" t="str">
        <f>Stakeholders!B3</f>
        <v>A</v>
      </c>
      <c r="C3" s="15">
        <f>Stakeholders!C3</f>
        <v>925204488</v>
      </c>
      <c r="D3" s="15" t="str">
        <f>Stakeholders!D3</f>
        <v>Aghata Roberta Tavares Damasceno</v>
      </c>
      <c r="E3" s="15" t="str">
        <f>Stakeholders!E3</f>
        <v>Aghata Roberta</v>
      </c>
      <c r="F3" s="4" t="str">
        <f>IF(Stakeholders!F3="","",Stakeholders!F3)</f>
        <v/>
      </c>
      <c r="G3" s="20" t="str">
        <f>Stakeholders!G3</f>
        <v>aghata.roberta.damasceno@uni9.edu.br</v>
      </c>
    </row>
    <row r="4" spans="1:7" ht="15" customHeight="1" x14ac:dyDescent="0.25">
      <c r="B4" s="3">
        <f>Stakeholders!B4</f>
        <v>0</v>
      </c>
      <c r="C4" s="4">
        <f>Stakeholders!C4</f>
        <v>925202248</v>
      </c>
      <c r="D4" s="4" t="str">
        <f>Stakeholders!D4</f>
        <v>Caio Feitor Santos</v>
      </c>
      <c r="E4" s="4" t="str">
        <f>Stakeholders!E4</f>
        <v>Caio Santos</v>
      </c>
      <c r="F4" s="4" t="str">
        <f>IF(Stakeholders!F4="","",Stakeholders!F4)</f>
        <v/>
      </c>
      <c r="G4" s="21" t="str">
        <f>Stakeholders!G4</f>
        <v>caio.feitor@uni9.edu.br</v>
      </c>
    </row>
    <row r="5" spans="1:7" ht="15" customHeight="1" x14ac:dyDescent="0.25">
      <c r="B5" s="3">
        <f>Stakeholders!B5</f>
        <v>0</v>
      </c>
      <c r="C5" s="4">
        <f>Stakeholders!C5</f>
        <v>925202874</v>
      </c>
      <c r="D5" s="4" t="str">
        <f>Stakeholders!D5</f>
        <v>Ester Sabrina Menezes</v>
      </c>
      <c r="E5" s="4" t="str">
        <f>Stakeholders!E5</f>
        <v>Ester Menezes</v>
      </c>
      <c r="F5" s="4" t="str">
        <f>IF(Stakeholders!F5="","",Stakeholders!F5)</f>
        <v/>
      </c>
      <c r="G5" s="21" t="str">
        <f>Stakeholders!G5</f>
        <v>ester.sabrina@uni9.edu.br</v>
      </c>
    </row>
    <row r="6" spans="1:7" ht="15" customHeight="1" x14ac:dyDescent="0.25">
      <c r="B6" s="3">
        <f>Stakeholders!B6</f>
        <v>0</v>
      </c>
      <c r="C6" s="4">
        <f>Stakeholders!C6</f>
        <v>925201408</v>
      </c>
      <c r="D6" s="4" t="str">
        <f>Stakeholders!D6</f>
        <v>Gabriel Victor Marques Bastos</v>
      </c>
      <c r="E6" s="4" t="str">
        <f>Stakeholders!E6</f>
        <v>Gabriel Bastos</v>
      </c>
      <c r="F6" s="4" t="str">
        <f>IF(Stakeholders!F6="","",Stakeholders!F6)</f>
        <v/>
      </c>
      <c r="G6" s="21" t="str">
        <f>Stakeholders!G6</f>
        <v>g.v.bastos@uni9.edu.br</v>
      </c>
    </row>
    <row r="7" spans="1:7" ht="15" customHeight="1" x14ac:dyDescent="0.25">
      <c r="A7" s="2">
        <v>1</v>
      </c>
      <c r="B7" s="3" t="str">
        <f>Stakeholders!B7</f>
        <v>A</v>
      </c>
      <c r="C7" s="4">
        <f>Stakeholders!C7</f>
        <v>925205636</v>
      </c>
      <c r="D7" s="4" t="str">
        <f>Stakeholders!D7</f>
        <v>Ingrid Camille Rodrigues Gonçalves</v>
      </c>
      <c r="E7" s="4" t="str">
        <f>Stakeholders!E7</f>
        <v>Ingrid Gonçalves</v>
      </c>
      <c r="F7" s="4" t="str">
        <f>IF(Stakeholders!F7="","",Stakeholders!F7)</f>
        <v/>
      </c>
      <c r="G7" s="21" t="str">
        <f>Stakeholders!G7</f>
        <v>ingrid.rg@uni9.edu.br</v>
      </c>
    </row>
    <row r="8" spans="1:7" ht="15" customHeight="1" x14ac:dyDescent="0.25">
      <c r="B8" s="3">
        <f>Stakeholders!B8</f>
        <v>0</v>
      </c>
      <c r="C8" s="4">
        <f>Stakeholders!C8</f>
        <v>925200948</v>
      </c>
      <c r="D8" s="4" t="str">
        <f>Stakeholders!D8</f>
        <v>Kauã Azevedo de Oliveira</v>
      </c>
      <c r="E8" s="4" t="str">
        <f>Stakeholders!E8</f>
        <v>Kauã Oliveira</v>
      </c>
      <c r="F8" s="4" t="str">
        <f>IF(Stakeholders!F8="","",Stakeholders!F8)</f>
        <v/>
      </c>
      <c r="G8" s="21" t="str">
        <f>Stakeholders!G8</f>
        <v>azevedo.kaua@uni9.edu.br</v>
      </c>
    </row>
    <row r="9" spans="1:7" ht="15" customHeight="1" x14ac:dyDescent="0.25">
      <c r="B9" s="3">
        <f>Stakeholders!B9</f>
        <v>0</v>
      </c>
      <c r="C9" s="4">
        <f>Stakeholders!C9</f>
        <v>925202396</v>
      </c>
      <c r="D9" s="4" t="str">
        <f>Stakeholders!D9</f>
        <v>Kayky Oliveira Santos</v>
      </c>
      <c r="E9" s="4" t="str">
        <f>Stakeholders!E9</f>
        <v>Kayky Santos</v>
      </c>
      <c r="F9" s="4" t="str">
        <f>IF(Stakeholders!F9="","",Stakeholders!F9)</f>
        <v/>
      </c>
      <c r="G9" s="21" t="str">
        <f>Stakeholders!G9</f>
        <v>berryhoney222@uni9.edu.br</v>
      </c>
    </row>
    <row r="10" spans="1:7" ht="15" customHeight="1" x14ac:dyDescent="0.25">
      <c r="B10" s="3">
        <f>Stakeholders!B10</f>
        <v>0</v>
      </c>
      <c r="C10" s="4">
        <f>Stakeholders!C10</f>
        <v>925118275</v>
      </c>
      <c r="D10" s="4" t="str">
        <f>Stakeholders!D10</f>
        <v>Lucas Pantaleão dos Santos</v>
      </c>
      <c r="E10" s="4" t="str">
        <f>Stakeholders!E10</f>
        <v>Lucas Pantaleão</v>
      </c>
      <c r="F10" s="4" t="str">
        <f>IF(Stakeholders!F10="","",Stakeholders!F10)</f>
        <v/>
      </c>
      <c r="G10" s="21" t="str">
        <f>Stakeholders!G10</f>
        <v>l.pantaleao@uni9.edu.br</v>
      </c>
    </row>
    <row r="11" spans="1:7" ht="15" customHeight="1" x14ac:dyDescent="0.25">
      <c r="B11" s="3">
        <f>Stakeholders!B11</f>
        <v>0</v>
      </c>
      <c r="C11" s="4">
        <f>Stakeholders!C11</f>
        <v>925204207</v>
      </c>
      <c r="D11" s="4" t="str">
        <f>Stakeholders!D11</f>
        <v>Marlei Gonçalves dos Santos</v>
      </c>
      <c r="E11" s="4" t="str">
        <f>Stakeholders!E11</f>
        <v>MarleiGS</v>
      </c>
      <c r="F11" s="4" t="str">
        <f>IF(Stakeholders!F11="","",Stakeholders!F11)</f>
        <v>Gerente de Projeto</v>
      </c>
      <c r="G11" s="21" t="str">
        <f>Stakeholders!G11</f>
        <v>marlei.gsantos@uni9.edu.br</v>
      </c>
    </row>
    <row r="12" spans="1:7" ht="15" customHeight="1" x14ac:dyDescent="0.25">
      <c r="B12" s="3">
        <f>Stakeholders!B12</f>
        <v>0</v>
      </c>
      <c r="C12" s="4">
        <f>Stakeholders!C12</f>
        <v>925202983</v>
      </c>
      <c r="D12" s="4" t="str">
        <f>Stakeholders!D12</f>
        <v>Mateus da Silva Costa</v>
      </c>
      <c r="E12" s="4" t="str">
        <f>Stakeholders!E12</f>
        <v>Mateus Costa</v>
      </c>
      <c r="F12" s="4" t="str">
        <f>IF(Stakeholders!F12="","",Stakeholders!F12)</f>
        <v/>
      </c>
      <c r="G12" s="21" t="str">
        <f>Stakeholders!G12</f>
        <v>ligiamateuscosta@uni9.edu.br</v>
      </c>
    </row>
    <row r="13" spans="1:7" ht="15" customHeight="1" x14ac:dyDescent="0.25">
      <c r="B13" s="3">
        <f>Stakeholders!B13</f>
        <v>0</v>
      </c>
      <c r="C13" s="4">
        <f>Stakeholders!C13</f>
        <v>925205973</v>
      </c>
      <c r="D13" s="4" t="str">
        <f>Stakeholders!D13</f>
        <v>Matheus Henrique de Paiva Santiago Sousa</v>
      </c>
      <c r="E13" s="4" t="str">
        <f>Stakeholders!E13</f>
        <v>Matheus Santiago</v>
      </c>
      <c r="F13" s="4" t="str">
        <f>IF(Stakeholders!F13="","",Stakeholders!F13)</f>
        <v/>
      </c>
      <c r="G13" s="21" t="str">
        <f>Stakeholders!G13</f>
        <v>matheushpss99@uni9.edu.br</v>
      </c>
    </row>
    <row r="14" spans="1:7" ht="15" customHeight="1" x14ac:dyDescent="0.25">
      <c r="B14" s="3">
        <f>Stakeholders!B14</f>
        <v>0</v>
      </c>
      <c r="C14" s="4">
        <f>Stakeholders!C14</f>
        <v>0</v>
      </c>
      <c r="D14" s="4">
        <f>Stakeholders!D14</f>
        <v>0</v>
      </c>
      <c r="E14" s="4">
        <f>Stakeholders!E14</f>
        <v>0</v>
      </c>
      <c r="F14" s="4" t="str">
        <f>IF(Stakeholders!F14="","",Stakeholders!F14)</f>
        <v/>
      </c>
      <c r="G14" s="21">
        <f>Stakeholders!G14</f>
        <v>0</v>
      </c>
    </row>
    <row r="15" spans="1:7" ht="15" customHeight="1" x14ac:dyDescent="0.25">
      <c r="B15" s="3">
        <f>Stakeholders!B15</f>
        <v>0</v>
      </c>
      <c r="C15" s="4">
        <f>Stakeholders!C15</f>
        <v>0</v>
      </c>
      <c r="D15" s="4">
        <f>Stakeholders!D15</f>
        <v>0</v>
      </c>
      <c r="E15" s="4">
        <f>Stakeholders!E15</f>
        <v>0</v>
      </c>
      <c r="F15" s="4" t="str">
        <f>IF(Stakeholders!F15="","",Stakeholders!F15)</f>
        <v/>
      </c>
      <c r="G15" s="21">
        <f>Stakeholders!G15</f>
        <v>0</v>
      </c>
    </row>
    <row r="16" spans="1:7" ht="15" customHeight="1" x14ac:dyDescent="0.25">
      <c r="B16" s="3">
        <f>Stakeholders!B16</f>
        <v>0</v>
      </c>
      <c r="C16" s="4">
        <f>Stakeholders!C16</f>
        <v>0</v>
      </c>
      <c r="D16" s="4">
        <f>Stakeholders!D16</f>
        <v>0</v>
      </c>
      <c r="E16" s="4">
        <f>Stakeholders!E16</f>
        <v>0</v>
      </c>
      <c r="F16" s="4" t="str">
        <f>IF(Stakeholders!F16="","",Stakeholders!F16)</f>
        <v/>
      </c>
      <c r="G16" s="21">
        <f>Stakeholders!G16</f>
        <v>0</v>
      </c>
    </row>
    <row r="17" spans="2:7" ht="15" customHeight="1" thickBot="1" x14ac:dyDescent="0.3">
      <c r="B17" s="3">
        <f>Stakeholders!B17</f>
        <v>0</v>
      </c>
      <c r="C17" s="4">
        <f>Stakeholders!C17</f>
        <v>0</v>
      </c>
      <c r="D17" s="4">
        <f>Stakeholders!D17</f>
        <v>0</v>
      </c>
      <c r="E17" s="4">
        <f>Stakeholders!E17</f>
        <v>0</v>
      </c>
      <c r="F17" s="4" t="str">
        <f>IF(Stakeholders!F17="","",Stakeholders!F17)</f>
        <v/>
      </c>
      <c r="G17" s="21">
        <f>Stakeholders!G17</f>
        <v>0</v>
      </c>
    </row>
    <row r="18" spans="2:7" ht="34.950000000000003" customHeight="1" x14ac:dyDescent="0.25">
      <c r="B18" s="45" t="s">
        <v>49</v>
      </c>
      <c r="C18" s="45"/>
      <c r="D18" s="45"/>
      <c r="E18" s="45"/>
      <c r="F18" s="45"/>
      <c r="G18" s="45"/>
    </row>
  </sheetData>
  <mergeCells count="3">
    <mergeCell ref="B18:G18"/>
    <mergeCell ref="B1:C1"/>
    <mergeCell ref="D1:F1"/>
  </mergeCells>
  <conditionalFormatting sqref="B7:G7">
    <cfRule type="expression" dxfId="0" priority="1">
      <formula>$A$7=1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CD90-7619-43B0-B70B-1C377ED59E48}">
  <sheetPr>
    <pageSetUpPr fitToPage="1"/>
  </sheetPr>
  <dimension ref="B1:K17"/>
  <sheetViews>
    <sheetView tabSelected="1" zoomScale="115" zoomScaleNormal="115" workbookViewId="0">
      <selection activeCell="C4" sqref="C4"/>
    </sheetView>
  </sheetViews>
  <sheetFormatPr defaultColWidth="10.77734375" defaultRowHeight="19.95" customHeight="1" x14ac:dyDescent="0.25"/>
  <cols>
    <col min="1" max="1" width="3.77734375" style="1" customWidth="1"/>
    <col min="2" max="2" width="5.77734375" style="2" customWidth="1"/>
    <col min="3" max="3" width="10.77734375" style="2"/>
    <col min="4" max="4" width="33.21875" style="1" bestFit="1" customWidth="1"/>
    <col min="5" max="5" width="15.77734375" style="1" customWidth="1"/>
    <col min="6" max="6" width="15.77734375" style="2" customWidth="1"/>
    <col min="7" max="7" width="28.5546875" style="2" bestFit="1" customWidth="1"/>
    <col min="8" max="8" width="20.77734375" style="2" customWidth="1"/>
    <col min="9" max="9" width="12.77734375" style="2" customWidth="1"/>
    <col min="10" max="11" width="18.77734375" style="1" customWidth="1"/>
    <col min="12" max="16384" width="10.77734375" style="1"/>
  </cols>
  <sheetData>
    <row r="1" spans="2:11" ht="60" customHeight="1" thickBot="1" x14ac:dyDescent="0.3">
      <c r="B1" s="51" t="s">
        <v>57</v>
      </c>
      <c r="C1" s="52"/>
      <c r="D1" s="53" t="s">
        <v>58</v>
      </c>
      <c r="E1" s="54"/>
      <c r="F1" s="54"/>
      <c r="G1" s="54"/>
      <c r="H1" s="54"/>
      <c r="I1" s="54"/>
      <c r="J1" s="55"/>
      <c r="K1" s="43" t="s">
        <v>56</v>
      </c>
    </row>
    <row r="2" spans="2:11" s="2" customFormat="1" ht="25.2" customHeight="1" x14ac:dyDescent="0.25">
      <c r="B2" s="16" t="s">
        <v>48</v>
      </c>
      <c r="C2" s="17" t="s">
        <v>0</v>
      </c>
      <c r="D2" s="18" t="s">
        <v>45</v>
      </c>
      <c r="E2" s="18" t="s">
        <v>46</v>
      </c>
      <c r="F2" s="18" t="s">
        <v>15</v>
      </c>
      <c r="G2" s="18" t="s">
        <v>20</v>
      </c>
      <c r="H2" s="18" t="s">
        <v>39</v>
      </c>
      <c r="I2" s="18" t="s">
        <v>16</v>
      </c>
      <c r="J2" s="18" t="s">
        <v>17</v>
      </c>
      <c r="K2" s="19" t="s">
        <v>19</v>
      </c>
    </row>
    <row r="3" spans="2:11" ht="15" customHeight="1" x14ac:dyDescent="0.25">
      <c r="B3" s="32" t="s">
        <v>52</v>
      </c>
      <c r="C3" s="33">
        <v>925204488</v>
      </c>
      <c r="D3" s="34" t="s">
        <v>54</v>
      </c>
      <c r="E3" s="35" t="s">
        <v>53</v>
      </c>
      <c r="F3" s="36"/>
      <c r="G3" s="37" t="s">
        <v>55</v>
      </c>
      <c r="H3" s="36"/>
      <c r="I3" s="39">
        <v>11980931805</v>
      </c>
      <c r="J3" s="35" t="s">
        <v>60</v>
      </c>
      <c r="K3" s="38"/>
    </row>
    <row r="4" spans="2:11" ht="15" customHeight="1" x14ac:dyDescent="0.25">
      <c r="B4" s="3">
        <v>0</v>
      </c>
      <c r="C4" s="4">
        <v>925202248</v>
      </c>
      <c r="D4" s="5" t="s">
        <v>14</v>
      </c>
      <c r="E4" s="4" t="s">
        <v>34</v>
      </c>
      <c r="F4" s="6"/>
      <c r="G4" s="7" t="s">
        <v>44</v>
      </c>
      <c r="H4" s="6"/>
      <c r="I4" s="40">
        <v>11987455384</v>
      </c>
      <c r="J4" s="4" t="s">
        <v>29</v>
      </c>
      <c r="K4" s="8"/>
    </row>
    <row r="5" spans="2:11" ht="15" customHeight="1" x14ac:dyDescent="0.25">
      <c r="B5" s="3">
        <v>0</v>
      </c>
      <c r="C5" s="9">
        <v>925202874</v>
      </c>
      <c r="D5" s="5" t="s">
        <v>38</v>
      </c>
      <c r="E5" s="4" t="s">
        <v>30</v>
      </c>
      <c r="F5" s="6"/>
      <c r="G5" s="7" t="s">
        <v>41</v>
      </c>
      <c r="H5" s="6"/>
      <c r="I5" s="40">
        <v>11960422456</v>
      </c>
      <c r="J5" s="4" t="s">
        <v>26</v>
      </c>
      <c r="K5" s="8"/>
    </row>
    <row r="6" spans="2:11" ht="15" customHeight="1" x14ac:dyDescent="0.25">
      <c r="B6" s="3">
        <v>0</v>
      </c>
      <c r="C6" s="4">
        <v>925201408</v>
      </c>
      <c r="D6" s="5" t="s">
        <v>11</v>
      </c>
      <c r="E6" s="4" t="s">
        <v>35</v>
      </c>
      <c r="F6" s="6"/>
      <c r="G6" s="7" t="s">
        <v>12</v>
      </c>
      <c r="H6" s="6"/>
      <c r="I6" s="40">
        <v>11941942931</v>
      </c>
      <c r="J6" s="4" t="s">
        <v>23</v>
      </c>
      <c r="K6" s="8"/>
    </row>
    <row r="7" spans="2:11" ht="15" customHeight="1" x14ac:dyDescent="0.25">
      <c r="B7" s="26" t="s">
        <v>52</v>
      </c>
      <c r="C7" s="27">
        <v>925205636</v>
      </c>
      <c r="D7" s="28" t="s">
        <v>9</v>
      </c>
      <c r="E7" s="27" t="s">
        <v>32</v>
      </c>
      <c r="F7" s="29"/>
      <c r="G7" s="30" t="s">
        <v>10</v>
      </c>
      <c r="H7" s="29"/>
      <c r="I7" s="41">
        <v>11994785636</v>
      </c>
      <c r="J7" s="27" t="s">
        <v>24</v>
      </c>
      <c r="K7" s="31"/>
    </row>
    <row r="8" spans="2:11" ht="15" customHeight="1" x14ac:dyDescent="0.25">
      <c r="B8" s="3">
        <v>0</v>
      </c>
      <c r="C8" s="9">
        <v>925200948</v>
      </c>
      <c r="D8" s="5" t="s">
        <v>47</v>
      </c>
      <c r="E8" s="4" t="s">
        <v>50</v>
      </c>
      <c r="F8" s="6"/>
      <c r="G8" s="7" t="s">
        <v>8</v>
      </c>
      <c r="H8" s="6"/>
      <c r="I8" s="40">
        <v>11970609941</v>
      </c>
      <c r="J8" s="4" t="s">
        <v>22</v>
      </c>
      <c r="K8" s="10"/>
    </row>
    <row r="9" spans="2:11" ht="15" customHeight="1" x14ac:dyDescent="0.25">
      <c r="B9" s="3">
        <v>0</v>
      </c>
      <c r="C9" s="9">
        <v>925202396</v>
      </c>
      <c r="D9" s="5" t="s">
        <v>5</v>
      </c>
      <c r="E9" s="4" t="s">
        <v>31</v>
      </c>
      <c r="F9" s="6"/>
      <c r="G9" s="7" t="s">
        <v>6</v>
      </c>
      <c r="H9" s="6"/>
      <c r="I9" s="40">
        <v>11978284526</v>
      </c>
      <c r="J9" s="4" t="s">
        <v>21</v>
      </c>
      <c r="K9" s="8"/>
    </row>
    <row r="10" spans="2:11" ht="15" customHeight="1" x14ac:dyDescent="0.25">
      <c r="B10" s="3">
        <v>0</v>
      </c>
      <c r="C10" s="9">
        <v>925118275</v>
      </c>
      <c r="D10" s="5" t="s">
        <v>3</v>
      </c>
      <c r="E10" s="4" t="s">
        <v>51</v>
      </c>
      <c r="F10" s="6"/>
      <c r="G10" s="7" t="s">
        <v>4</v>
      </c>
      <c r="H10" s="6"/>
      <c r="I10" s="40">
        <v>11952026752</v>
      </c>
      <c r="J10" s="4" t="s">
        <v>25</v>
      </c>
      <c r="K10" s="8"/>
    </row>
    <row r="11" spans="2:11" ht="15" customHeight="1" x14ac:dyDescent="0.25">
      <c r="B11" s="3">
        <v>0</v>
      </c>
      <c r="C11" s="9">
        <v>925204207</v>
      </c>
      <c r="D11" s="5" t="s">
        <v>1</v>
      </c>
      <c r="E11" s="4" t="s">
        <v>18</v>
      </c>
      <c r="F11" s="6" t="s">
        <v>37</v>
      </c>
      <c r="G11" s="7" t="s">
        <v>2</v>
      </c>
      <c r="H11" s="6" t="s">
        <v>40</v>
      </c>
      <c r="I11" s="40">
        <v>11970230317</v>
      </c>
      <c r="J11" s="4" t="s">
        <v>18</v>
      </c>
      <c r="K11" s="8"/>
    </row>
    <row r="12" spans="2:11" ht="15" customHeight="1" x14ac:dyDescent="0.25">
      <c r="B12" s="3">
        <v>0</v>
      </c>
      <c r="C12" s="4">
        <v>925202983</v>
      </c>
      <c r="D12" s="5" t="s">
        <v>13</v>
      </c>
      <c r="E12" s="4" t="s">
        <v>33</v>
      </c>
      <c r="F12" s="6"/>
      <c r="G12" s="7" t="s">
        <v>43</v>
      </c>
      <c r="H12" s="6"/>
      <c r="I12" s="40">
        <v>11913485440</v>
      </c>
      <c r="J12" s="4" t="s">
        <v>28</v>
      </c>
      <c r="K12" s="8"/>
    </row>
    <row r="13" spans="2:11" ht="15" customHeight="1" x14ac:dyDescent="0.25">
      <c r="B13" s="3">
        <v>0</v>
      </c>
      <c r="C13" s="9">
        <v>925205973</v>
      </c>
      <c r="D13" s="5" t="s">
        <v>7</v>
      </c>
      <c r="E13" s="4" t="s">
        <v>36</v>
      </c>
      <c r="F13" s="6"/>
      <c r="G13" s="7" t="s">
        <v>42</v>
      </c>
      <c r="H13" s="6"/>
      <c r="I13" s="40">
        <v>11939562071</v>
      </c>
      <c r="J13" s="4" t="s">
        <v>27</v>
      </c>
      <c r="K13" s="8"/>
    </row>
    <row r="14" spans="2:11" ht="15" customHeight="1" x14ac:dyDescent="0.25">
      <c r="B14" s="3"/>
      <c r="C14" s="9"/>
      <c r="D14" s="5"/>
      <c r="E14" s="4"/>
      <c r="F14" s="6"/>
      <c r="G14" s="7"/>
      <c r="H14" s="6"/>
      <c r="I14" s="40"/>
      <c r="J14" s="4"/>
      <c r="K14" s="8"/>
    </row>
    <row r="15" spans="2:11" ht="15" customHeight="1" x14ac:dyDescent="0.25">
      <c r="B15" s="3"/>
      <c r="C15" s="9"/>
      <c r="D15" s="5"/>
      <c r="E15" s="4"/>
      <c r="F15" s="6"/>
      <c r="G15" s="7"/>
      <c r="H15" s="6"/>
      <c r="I15" s="40"/>
      <c r="J15" s="4"/>
      <c r="K15" s="8"/>
    </row>
    <row r="16" spans="2:11" ht="15" customHeight="1" x14ac:dyDescent="0.25">
      <c r="B16" s="3"/>
      <c r="C16" s="9"/>
      <c r="D16" s="5"/>
      <c r="E16" s="4"/>
      <c r="F16" s="6"/>
      <c r="G16" s="7"/>
      <c r="H16" s="6"/>
      <c r="I16" s="40"/>
      <c r="J16" s="4"/>
      <c r="K16" s="8"/>
    </row>
    <row r="17" spans="2:11" ht="15" customHeight="1" thickBot="1" x14ac:dyDescent="0.3">
      <c r="B17" s="11"/>
      <c r="C17" s="22"/>
      <c r="D17" s="23"/>
      <c r="E17" s="12"/>
      <c r="F17" s="24"/>
      <c r="G17" s="25"/>
      <c r="H17" s="24"/>
      <c r="I17" s="42"/>
      <c r="J17" s="12"/>
      <c r="K17" s="13"/>
    </row>
  </sheetData>
  <sortState xmlns:xlrd2="http://schemas.microsoft.com/office/spreadsheetml/2017/richdata2" ref="B3:K13">
    <sortCondition ref="D3:D13"/>
    <sortCondition ref="C3:C13"/>
  </sortState>
  <mergeCells count="2">
    <mergeCell ref="B1:C1"/>
    <mergeCell ref="D1:J1"/>
  </mergeCells>
  <phoneticPr fontId="8" type="noConversion"/>
  <hyperlinks>
    <hyperlink ref="H11" r:id="rId1" xr:uid="{199D8992-C9BB-4096-A378-506DED30EF29}"/>
    <hyperlink ref="G3" r:id="rId2" xr:uid="{381DC2AB-6F7A-4B92-99B7-6F9C5FFFC46C}"/>
  </hyperlinks>
  <printOptions horizontalCentered="1"/>
  <pageMargins left="0.31496062992125984" right="0.31496062992125984" top="0.78740157480314965" bottom="0.78740157480314965" header="0.31496062992125984" footer="0.31496062992125984"/>
  <pageSetup paperSize="9" scale="77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Marlei Goncalves dos Santos</dc:creator>
  <cp:lastModifiedBy>Marlei Santos | ASELCO</cp:lastModifiedBy>
  <cp:lastPrinted>2025-11-07T20:57:30Z</cp:lastPrinted>
  <dcterms:created xsi:type="dcterms:W3CDTF">2025-08-29T20:19:35Z</dcterms:created>
  <dcterms:modified xsi:type="dcterms:W3CDTF">2025-11-16T14:34:13Z</dcterms:modified>
</cp:coreProperties>
</file>